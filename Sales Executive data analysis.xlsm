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ttps://d.docs.live.net/ed579934a2490226/Desktop/"/>
    </mc:Choice>
  </mc:AlternateContent>
  <xr:revisionPtr revIDLastSave="0" documentId="8_{F19A3D38-DCF5-40DA-974A-EA107ECBCA60}" xr6:coauthVersionLast="47" xr6:coauthVersionMax="47" xr10:uidLastSave="{00000000-0000-0000-0000-000000000000}"/>
  <bookViews>
    <workbookView xWindow="-110" yWindow="-110" windowWidth="19420" windowHeight="10300" xr2:uid="{81D512C5-DFD0-45A9-BA7A-3679803E1A90}"/>
  </bookViews>
  <sheets>
    <sheet name="DE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<sst xmlns="http://schemas.openxmlformats.org/spreadsheetml/2006/main" count="467" uniqueCount="307">
  <si>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</si>
  <si>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</si>
  <si>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</si>
  <si>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</si>
  <si>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</si>
  <si>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</si>
  <si>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</si>
  <si>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</si>
  <si>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</si>
  <si>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</si>
  <si>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</si>
  <si>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</si>
  <si>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</si>
  <si>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</si>
  <si>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</si>
  <si>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</si>
  <si>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</si>
  <si>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</si>
  <si>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</si>
  <si>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</si>
  <si>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</si>
  <si>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</si>
  <si>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</si>
  <si>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</si>
  <si>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</si>
  <si>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</si>
  <si>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</si>
  <si>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</si>
  <si>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</si>
  <si>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</si>
  <si>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</si>
  <si>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</si>
  <si>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</si>
  <si>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</si>
  <si>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</si>
  <si>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</si>
  <si>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</si>
  <si>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</si>
  <si>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</si>
  <si>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</si>
  <si>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</si>
  <si>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</si>
  <si>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</si>
  <si>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</si>
  <si>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</si>
  <si>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</si>
  <si>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</si>
  <si>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</si>
  <si>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</si>
  <si>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</si>
  <si>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</si>
  <si>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</si>
  <si>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</si>
  <si>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</si>
  <si>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</si>
  <si>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</si>
  <si>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</si>
  <si>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</si>
  <si>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</si>
  <si>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</si>
  <si>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</si>
  <si>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</si>
  <si>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</si>
  <si>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</si>
  <si>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</si>
  <si>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</si>
  <si>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</si>
  <si>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</si>
  <si>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</si>
  <si>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</si>
  <si>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</si>
  <si>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</si>
  <si>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</si>
  <si>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</si>
  <si>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</si>
  <si>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</si>
  <si>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</si>
  <si>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</si>
  <si>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</si>
  <si>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</si>
  <si>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</si>
  <si>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</si>
  <si>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</si>
  <si>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</si>
  <si>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</si>
  <si>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</si>
  <si>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</si>
  <si>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</si>
  <si>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</si>
  <si>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</si>
  <si>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</si>
  <si>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</si>
  <si>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</si>
  <si>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</si>
  <si>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</si>
  <si>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</si>
  <si>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</si>
  <si>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</si>
  <si>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</si>
  <si>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</si>
  <si>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</si>
  <si>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</si>
  <si>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</si>
  <si>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</si>
  <si>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</si>
  <si>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</si>
  <si>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</si>
  <si>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</si>
  <si>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</si>
  <si>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</si>
  <si>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</si>
  <si>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</si>
  <si>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</si>
  <si>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</si>
  <si>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</si>
  <si>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</si>
  <si>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</si>
  <si>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</si>
  <si>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</si>
  <si>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</si>
  <si>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</si>
  <si>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</si>
  <si>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</si>
  <si>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</si>
  <si>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</si>
  <si>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</si>
  <si>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</si>
  <si>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</si>
  <si>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</si>
  <si>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</si>
  <si>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</si>
  <si>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</si>
  <si>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</si>
  <si>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</si>
  <si>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</si>
  <si>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</si>
  <si>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</si>
  <si>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</si>
  <si>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</si>
  <si>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</si>
  <si>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</si>
  <si>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</si>
  <si>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</si>
  <si>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</si>
  <si>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</si>
  <si>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</si>
  <si>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</si>
  <si>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</si>
  <si>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</si>
  <si>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</si>
  <si>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</si>
  <si>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</si>
  <si>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</si>
  <si>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</si>
  <si>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</si>
  <si>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</si>
  <si>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</si>
  <si>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</si>
  <si>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</si>
  <si>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</si>
  <si>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</si>
  <si>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</si>
  <si>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</si>
  <si>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</si>
  <si>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</si>
  <si>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</si>
  <si>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</si>
  <si>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</si>
  <si>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</si>
  <si>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</si>
  <si>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</si>
  <si>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</si>
  <si>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</si>
  <si>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</si>
  <si>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</si>
  <si>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</si>
  <si>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</si>
  <si>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</si>
  <si>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</si>
  <si>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</si>
  <si>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</si>
  <si>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</si>
  <si>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</si>
  <si>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</si>
  <si>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</si>
  <si>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</si>
  <si>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</si>
  <si>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</si>
  <si>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</si>
  <si>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</si>
  <si>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</si>
  <si>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</si>
  <si>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</si>
  <si>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</si>
  <si>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</si>
  <si>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</si>
  <si>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</si>
  <si>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</si>
  <si>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</si>
  <si>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</si>
  <si>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</si>
  <si>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</si>
  <si>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</si>
  <si>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</si>
  <si>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</si>
  <si>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</si>
  <si>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</si>
  <si>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</si>
  <si>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</si>
  <si>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</si>
  <si>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</si>
  <si>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</si>
  <si>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</si>
  <si>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</si>
  <si>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</si>
  <si>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</si>
  <si>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</si>
  <si>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</si>
  <si>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</si>
  <si>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</si>
  <si>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</si>
  <si>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</si>
  <si>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</si>
  <si>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</si>
  <si>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</si>
  <si>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</si>
  <si>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</si>
  <si>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</si>
  <si>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</si>
  <si>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</si>
  <si>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</si>
  <si>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</si>
  <si>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</si>
  <si>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</si>
  <si>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</si>
  <si>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</si>
  <si>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</si>
  <si>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</si>
  <si>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</si>
  <si>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</si>
  <si>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</si>
  <si>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</si>
  <si>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</si>
  <si>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</si>
  <si>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</si>
  <si>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</si>
  <si>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</si>
  <si>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</si>
  <si>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</si>
  <si>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</si>
  <si>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</si>
  <si>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</si>
  <si>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</si>
  <si>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</si>
  <si>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</si>
  <si>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</si>
  <si>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</si>
  <si>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</si>
  <si>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</si>
  <si>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</si>
  <si>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</si>
  <si>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</si>
  <si>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</si>
  <si>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</si>
  <si>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</si>
  <si>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</si>
  <si>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</si>
  <si>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</si>
  <si>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</si>
  <si>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</si>
  <si>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</si>
  <si>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</si>
  <si>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</si>
  <si>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</si>
  <si>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</si>
  <si>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</si>
  <si>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</si>
  <si>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</si>
  <si>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</si>
  <si>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</si>
  <si>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</si>
  <si>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</si>
  <si>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</si>
  <si>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</si>
  <si>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</si>
  <si>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</si>
  <si>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</si>
  <si>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</si>
  <si>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</si>
  <si>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</si>
  <si>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</si>
  <si>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</si>
  <si>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</si>
  <si>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</si>
  <si>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</si>
  <si>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</si>
  <si>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</si>
  <si>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</si>
  <si>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</si>
  <si>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</si>
  <si>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</si>
  <si>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</si>
  <si>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</si>
  <si>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 EXECUTIVE</t>
  </si>
  <si>
    <t xml:space="preserve">TOTAL SALES </t>
  </si>
  <si>
    <t>Sum of Target Hit %</t>
  </si>
  <si>
    <t>TARGETS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</si>
</sst>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5" tint="0.39994506668294322"/>
        </patternFill>
      </fill>
    </dxf>
  </dxfs>
  <tableStyles count="1" defaultTableStyle="TableStyleMedium2" defaultPivotStyle="PivotStyleLight16">
    <tableStyle name="Slicer Style 2" pivot="0" table="0" count="5" xr9:uid="{2F2E6DA4-AC4D-4EAE-B173-A5D96A326BE4}">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theme="7" tint="0.39994506668294322"/>
            </patternFill>
          </fill>
        </dxf>
        <dxf>
          <fill>
            <patternFill>
              <bgColor theme="5" tint="-0.24994659260841701"/>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 analysis.xlsm]DESHBOARD!PivotTable1</c:name>
    <c:fmtId val="7"/>
  </c:pivotSource>
  <c:chart>
    <c:autoTitleDeleted val="1"/>
    <c:pivotFmts>
      <c:pivotFmt>
        <c:idx val="0"/>
        <c:spPr>
          <a:solidFill>
            <a:schemeClr val="accent2">
              <a:lumMod val="50000"/>
            </a:schemeClr>
          </a:solidFill>
          <a:ln>
            <a:noFill/>
          </a:ln>
          <a:effectLst/>
          <a:sp3d/>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pivotFmt>
    </c:pivotFmts>
    <c:view3D>
      <c:rotX val="15"/>
      <c:rotY val="20"/>
      <c:depthPercent val="100"/>
      <c:rAngAx val="1"/>
    </c:view3D>
    <c:floor>
      <c:thickness val="0"/>
      <c:spPr>
        <a:noFill/>
        <a:ln w="25400">
          <a:noFill/>
        </a:ln>
        <a:effectLst/>
        <a:sp3d/>
      </c:spPr>
    </c:floor>
    <c:sideWall>
      <c:thickness val="0"/>
      <c:spPr>
        <a:noFill/>
        <a:ln>
          <a:noFill/>
        </a:ln>
        <a:effectLst/>
        <a:sp3d/>
      </c:spPr>
    </c:sideWall>
    <c:backWall>
      <c:thickness val="0"/>
      <c:spPr>
        <a:noFill/>
        <a:ln w="25400">
          <a:noFill/>
        </a:ln>
        <a:effectLst/>
        <a:sp3d/>
      </c:spPr>
    </c:backWall>
    <c:plotArea>
      <c:layout/>
      <c:bar3DChart>
        <c:barDir val="bar"/>
        <c:grouping val="stacked"/>
        <c:varyColors val="0"/>
        <c:ser>
          <c:idx val="0"/>
          <c:order val="0"/>
          <c:tx>
            <c:strRef>
              <c:f>DESHBOARD!$B$4</c:f>
              <c:strCache>
                <c:ptCount val="1"/>
                <c:pt idx="0">
                  <c:v>Total</c:v>
                </c:pt>
              </c:strCache>
            </c:strRef>
          </c:tx>
          <c:spPr>
            <a:solidFill>
              <a:schemeClr val="accent2">
                <a:lumMod val="50000"/>
              </a:schemeClr>
            </a:solidFill>
            <a:ln>
              <a:noFill/>
            </a:ln>
            <a:effectLst/>
            <a:sp3d/>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DESHBOARD!$A$5:$A$10</c:f>
              <c:strCache>
                <c:ptCount val="5"/>
                <c:pt idx="0">
                  <c:v>Anikuttan</c:v>
                </c:pt>
                <c:pt idx="1">
                  <c:v>Ritu Bhatnagar</c:v>
                </c:pt>
                <c:pt idx="2">
                  <c:v>Rashid</c:v>
                </c:pt>
                <c:pt idx="3">
                  <c:v>Bhagwat Singh</c:v>
                </c:pt>
                <c:pt idx="4">
                  <c:v>ManjuTiwari Lab</c:v>
                </c:pt>
              </c:strCache>
            </c:strRef>
          </c:cat>
          <c:val>
            <c:numRef>
              <c:f>DESHBOARD!$B$5:$B$10</c:f>
              <c:numCache>
                <c:formatCode>General</c:formatCode>
                <c:ptCount val="5"/>
                <c:pt idx="0">
                  <c:v>382</c:v>
                </c:pt>
                <c:pt idx="1">
                  <c:v>371</c:v>
                </c:pt>
                <c:pt idx="2">
                  <c:v>340</c:v>
                </c:pt>
                <c:pt idx="3">
                  <c:v>327</c:v>
                </c:pt>
                <c:pt idx="4">
                  <c:v>318</c:v>
                </c:pt>
              </c:numCache>
            </c:numRef>
          </c:val>
          <c:extLst>
            <c:ext xmlns:c16="http://schemas.microsoft.com/office/drawing/2014/chart" uri="{C3380CC4-5D6E-409C-BE32-E72D297353CC}">
              <c16:uniqueId val="{00000000-931C-462C-9334-77961A12DA40}"/>
            </c:ext>
          </c:extLst>
        </c:ser>
        <c:dLbls>
          <c:showLegendKey val="0"/>
          <c:showVal val="0"/>
          <c:showCatName val="0"/>
          <c:showSerName val="0"/>
          <c:showPercent val="0"/>
          <c:showBubbleSize val="0"/>
        </c:dLbls>
        <c:gapWidth val="150"/>
        <c:shape val="box"/>
        <c:axId val="361379008"/>
        <c:axId val="361383808"/>
        <c:axId val="0"/>
      </c:bar3DChart>
      <c:catAx>
        <c:axId val="361379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83808"/>
        <c:crosses val="autoZero"/>
        <c:auto val="1"/>
        <c:lblAlgn val="ctr"/>
        <c:lblOffset val="100"/>
        <c:noMultiLvlLbl val="0"/>
      </c:catAx>
      <c:valAx>
        <c:axId val="361383808"/>
        <c:scaling>
          <c:orientation val="minMax"/>
        </c:scaling>
        <c:delete val="1"/>
        <c:axPos val="b"/>
        <c:numFmt formatCode="General" sourceLinked="1"/>
        <c:majorTickMark val="none"/>
        <c:minorTickMark val="none"/>
        <c:tickLblPos val="nextTo"/>
        <c:crossAx val="36137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 analysis.xlsm]DESHBOARD!PivotTable3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DESHBOARD!$H$4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D7E-424A-9FE0-762370F67AC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CD7E-424A-9FE0-762370F67AC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BB0-40EA-BAF0-1AEC8412F9A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BB0-40EA-BAF0-1AEC8412F9A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D7E-424A-9FE0-762370F67AC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DESHBOARD!$G$5:$G$10</c:f>
              <c:strCache>
                <c:ptCount val="5"/>
                <c:pt idx="0">
                  <c:v>Anikuttan</c:v>
                </c:pt>
                <c:pt idx="1">
                  <c:v>Bhagwat Singh</c:v>
                </c:pt>
                <c:pt idx="2">
                  <c:v>ManjuTiwari Lab</c:v>
                </c:pt>
                <c:pt idx="3">
                  <c:v>Rashid</c:v>
                </c:pt>
                <c:pt idx="4">
                  <c:v>Ritu Bhatnagar</c:v>
                </c:pt>
              </c:strCache>
            </c:strRef>
          </c:cat>
          <c:val>
            <c:numRef>
              <c:f>DESHBOARD!$H$5:$H$10</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CD7E-424A-9FE0-762370F67AC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 analysis.xlsm]DESHBOARD!PivotTable4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9024390243902439E-3"/>
              <c:y val="-6.1946902654867277E-2"/>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1707317073170732E-2"/>
              <c:y val="0.13274336283185845"/>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8048780487805589E-3"/>
              <c:y val="-0.10619469026548672"/>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8048780487803447E-3"/>
              <c:y val="-7.0796460176991149E-2"/>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marker>
          <c:symbol val="circle"/>
          <c:size val="5"/>
          <c:spPr>
            <a:solidFill>
              <a:schemeClr val="accent1"/>
            </a:solidFill>
            <a:ln w="9525">
              <a:solidFill>
                <a:schemeClr val="accent1"/>
              </a:solidFill>
            </a:ln>
            <a:effectLst/>
          </c:spPr>
        </c:marker>
      </c:pivotFmt>
      <c:pivotFmt>
        <c:idx val="7"/>
        <c:marker>
          <c:symbol val="circle"/>
          <c:size val="5"/>
          <c:spPr>
            <a:solidFill>
              <a:schemeClr val="accent1"/>
            </a:solidFill>
            <a:ln w="9525">
              <a:solidFill>
                <a:schemeClr val="accent1"/>
              </a:solidFill>
            </a:ln>
            <a:effectLst/>
          </c:spPr>
        </c:marker>
      </c:pivotFmt>
      <c:pivotFmt>
        <c:idx val="8"/>
        <c:marker>
          <c:symbol val="circle"/>
          <c:size val="5"/>
          <c:spPr>
            <a:solidFill>
              <a:schemeClr val="accent1"/>
            </a:solidFill>
            <a:ln w="9525">
              <a:solidFill>
                <a:schemeClr val="accent1"/>
              </a:solidFill>
            </a:ln>
            <a:effectLst/>
          </c:spPr>
        </c:marker>
      </c:pivotFmt>
      <c:pivotFmt>
        <c:idx val="9"/>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5529433454964472"/>
          <c:y val="9.7345132743362831E-2"/>
          <c:w val="0.79397395813328209"/>
          <c:h val="0.80530973451327437"/>
        </c:manualLayout>
      </c:layout>
      <c:lineChart>
        <c:grouping val="standard"/>
        <c:varyColors val="0"/>
        <c:ser>
          <c:idx val="0"/>
          <c:order val="0"/>
          <c:tx>
            <c:strRef>
              <c:f>DESHBOARD!$K$4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5BFC-4195-B2C5-003A8A9FC5F8}"/>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5BFC-4195-B2C5-003A8A9FC5F8}"/>
              </c:ext>
            </c:extLst>
          </c:dPt>
          <c:dPt>
            <c:idx val="4"/>
            <c:marker>
              <c:symbol val="circle"/>
              <c:size val="5"/>
              <c:spPr>
                <a:solidFill>
                  <a:schemeClr val="accent1"/>
                </a:solidFill>
                <a:ln w="9525">
                  <a:solidFill>
                    <a:schemeClr val="accent1"/>
                  </a:solidFill>
                </a:ln>
                <a:effectLst/>
              </c:spPr>
            </c:marker>
            <c:bubble3D val="0"/>
          </c:dPt>
          <c:dLbls>
            <c:dLbl>
              <c:idx val="4"/>
              <c:layout>
                <c:manualLayout>
                  <c:x val="-1.1707317073170732E-2"/>
                  <c:y val="0.13274336283185845"/>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DESHBOARD!$J$5:$J$10</c:f>
              <c:strCache>
                <c:ptCount val="5"/>
                <c:pt idx="0">
                  <c:v>Jyoti Tulsani</c:v>
                </c:pt>
                <c:pt idx="1">
                  <c:v>Sanjiv Subherwal</c:v>
                </c:pt>
                <c:pt idx="2">
                  <c:v>Sushma Khandelwal</c:v>
                </c:pt>
                <c:pt idx="3">
                  <c:v>Mubeen Khan</c:v>
                </c:pt>
                <c:pt idx="4">
                  <c:v>Praveen Kumar</c:v>
                </c:pt>
              </c:strCache>
            </c:strRef>
          </c:cat>
          <c:val>
            <c:numRef>
              <c:f>DESHBOARD!$K$5:$K$10</c:f>
              <c:numCache>
                <c:formatCode>0.00%</c:formatCode>
                <c:ptCount val="5"/>
                <c:pt idx="0">
                  <c:v>0.45600000000000002</c:v>
                </c:pt>
                <c:pt idx="1">
                  <c:v>0.44600000000000001</c:v>
                </c:pt>
                <c:pt idx="2">
                  <c:v>0.42599999999999999</c:v>
                </c:pt>
                <c:pt idx="3">
                  <c:v>0.41799999999999998</c:v>
                </c:pt>
                <c:pt idx="4">
                  <c:v>0.33200000000000002</c:v>
                </c:pt>
              </c:numCache>
            </c:numRef>
          </c:val>
          <c:smooth val="0"/>
          <c:extLst>
            <c:ext xmlns:c16="http://schemas.microsoft.com/office/drawing/2014/chart" uri="{C3380CC4-5D6E-409C-BE32-E72D297353CC}">
              <c16:uniqueId val="{00000000-7219-475E-80D3-09FBD3391A7A}"/>
            </c:ext>
          </c:extLst>
        </c:ser>
        <c:dLbls>
          <c:showLegendKey val="0"/>
          <c:showVal val="0"/>
          <c:showCatName val="0"/>
          <c:showSerName val="0"/>
          <c:showPercent val="0"/>
          <c:showBubbleSize val="0"/>
        </c:dLbls>
        <c:marker val="1"/>
        <c:smooth val="0"/>
        <c:axId val="361370848"/>
        <c:axId val="361387648"/>
      </c:lineChart>
      <c:catAx>
        <c:axId val="361370848"/>
        <c:scaling>
          <c:orientation val="minMax"/>
        </c:scaling>
        <c:delete val="1"/>
        <c:axPos val="b"/>
        <c:numFmt formatCode="General" sourceLinked="1"/>
        <c:majorTickMark val="none"/>
        <c:minorTickMark val="none"/>
        <c:tickLblPos val="nextTo"/>
        <c:crossAx val="361387648"/>
        <c:crosses val="autoZero"/>
        <c:auto val="1"/>
        <c:lblAlgn val="ctr"/>
        <c:lblOffset val="100"/>
        <c:noMultiLvlLbl val="0"/>
      </c:catAx>
      <c:valAx>
        <c:axId val="3613876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708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47625</xdr:rowOff>
    </xdr:from>
    <xdr:to>
      <xdr:col>4</xdr:col>
      <xdr:colOff>850900</xdr:colOff>
      <xdr:row>17</xdr:row>
      <xdr:rowOff>152400</xdr:rowOff>
    </xdr:to>
    <xdr:graphicFrame macro="">
      <xdr:nvGraphicFramePr>
        <xdr:cNvPr id="5" name="Chart 4">
          <a:extLst>
            <a:ext uri="{FF2B5EF4-FFF2-40B4-BE49-F238E27FC236}">
              <a16:creationId xmlns:a16="http://schemas.microsoft.com/office/drawing/2014/main" id="{84AFB0D5-F837-D8C5-1A0A-C77F279150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10</xdr:row>
      <xdr:rowOff>63500</xdr:rowOff>
    </xdr:from>
    <xdr:to>
      <xdr:col>8</xdr:col>
      <xdr:colOff>6350</xdr:colOff>
      <xdr:row>17</xdr:row>
      <xdr:rowOff>165100</xdr:rowOff>
    </xdr:to>
    <xdr:graphicFrame macro="">
      <xdr:nvGraphicFramePr>
        <xdr:cNvPr id="6" name="Chart 5">
          <a:extLst>
            <a:ext uri="{FF2B5EF4-FFF2-40B4-BE49-F238E27FC236}">
              <a16:creationId xmlns:a16="http://schemas.microsoft.com/office/drawing/2014/main" id="{823EE272-87D3-C38E-698E-0242E6845E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193675</xdr:colOff>
      <xdr:row>10</xdr:row>
      <xdr:rowOff>69849</xdr:rowOff>
    </xdr:from>
    <xdr:to>
      <xdr:col>12</xdr:col>
      <xdr:colOff>25400</xdr:colOff>
      <xdr:row>17</xdr:row>
      <xdr:rowOff>139700</xdr:rowOff>
    </xdr:to>
    <xdr:graphicFrame macro="">
      <xdr:nvGraphicFramePr>
        <xdr:cNvPr id="7" name="Chart 6">
          <a:extLst>
            <a:ext uri="{FF2B5EF4-FFF2-40B4-BE49-F238E27FC236}">
              <a16:creationId xmlns:a16="http://schemas.microsoft.com/office/drawing/2014/main" id="{39FA3634-127F-CA50-F7AB-7D5B7C3ED0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1178226</xdr:colOff>
      <xdr:row>0</xdr:row>
      <xdr:rowOff>396000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99DEF059-E036-1DE1-65F5-7B8F3D2FA19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163476"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260350</xdr:colOff>
      <xdr:row>0</xdr:row>
      <xdr:rowOff>400050</xdr:rowOff>
    </xdr:from>
    <xdr:to>
      <xdr:col>0</xdr:col>
      <xdr:colOff>1346200</xdr:colOff>
      <xdr:row>2</xdr:row>
      <xdr:rowOff>95250</xdr:rowOff>
    </xdr:to>
    <xdr:sp macro="" textlink="">
      <xdr:nvSpPr>
        <xdr:cNvPr id="9" name="Speech Bubble: Rectangle 8">
          <a:extLst>
            <a:ext uri="{FF2B5EF4-FFF2-40B4-BE49-F238E27FC236}">
              <a16:creationId xmlns:a16="http://schemas.microsoft.com/office/drawing/2014/main" id="{3DB651BE-6984-5737-9BF7-68FFFC35C6B9}"/>
            </a:ext>
          </a:extLst>
        </xdr:cNvPr>
        <xdr:cNvSpPr/>
      </xdr:nvSpPr>
      <xdr:spPr>
        <a:xfrm>
          <a:off x="260350" y="400050"/>
          <a:ext cx="1085850" cy="349250"/>
        </a:xfrm>
        <a:prstGeom prst="wedgeRectCallou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311150</xdr:colOff>
          <xdr:row>0</xdr:row>
          <xdr:rowOff>374650</xdr:rowOff>
        </xdr:from>
        <xdr:to>
          <xdr:col>1</xdr:col>
          <xdr:colOff>215900</xdr:colOff>
          <xdr:row>2</xdr:row>
          <xdr:rowOff>69850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DESHBOARD 1</a:t>
              </a:r>
            </a:p>
          </xdr:txBody>
        </xdr:sp>
        <xdr:clientData/>
      </xdr:twoCellAnchor>
    </mc:Choice>
    <mc:Fallback/>
  </mc:AlternateContent>
  <xdr:twoCellAnchor>
    <xdr:from>
      <xdr:col>3</xdr:col>
      <xdr:colOff>254000</xdr:colOff>
      <xdr:row>0</xdr:row>
      <xdr:rowOff>400050</xdr:rowOff>
    </xdr:from>
    <xdr:to>
      <xdr:col>4</xdr:col>
      <xdr:colOff>285750</xdr:colOff>
      <xdr:row>2</xdr:row>
      <xdr:rowOff>95250</xdr:rowOff>
    </xdr:to>
    <xdr:sp macro="" textlink="">
      <xdr:nvSpPr>
        <xdr:cNvPr id="10" name="Speech Bubble: Rectangle 9">
          <a:extLst>
            <a:ext uri="{FF2B5EF4-FFF2-40B4-BE49-F238E27FC236}">
              <a16:creationId xmlns:a16="http://schemas.microsoft.com/office/drawing/2014/main" id="{64EB10BB-AED0-9540-075A-378A48C374E9}"/>
            </a:ext>
          </a:extLst>
        </xdr:cNvPr>
        <xdr:cNvSpPr/>
      </xdr:nvSpPr>
      <xdr:spPr>
        <a:xfrm>
          <a:off x="2686050" y="400050"/>
          <a:ext cx="1346200" cy="349250"/>
        </a:xfrm>
        <a:prstGeom prst="wedgeRectCallou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349250</xdr:colOff>
          <xdr:row>0</xdr:row>
          <xdr:rowOff>355600</xdr:rowOff>
        </xdr:from>
        <xdr:to>
          <xdr:col>4</xdr:col>
          <xdr:colOff>330200</xdr:colOff>
          <xdr:row>2</xdr:row>
          <xdr:rowOff>50800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DESHBOARD 2</a:t>
              </a:r>
            </a:p>
          </xdr:txBody>
        </xdr:sp>
        <xdr:clientData/>
      </xdr:twoCellAnchor>
    </mc:Choice>
    <mc:Fallback/>
  </mc:AlternateContent>
  <xdr:twoCellAnchor>
    <xdr:from>
      <xdr:col>6</xdr:col>
      <xdr:colOff>349250</xdr:colOff>
      <xdr:row>0</xdr:row>
      <xdr:rowOff>425450</xdr:rowOff>
    </xdr:from>
    <xdr:to>
      <xdr:col>7</xdr:col>
      <xdr:colOff>520700</xdr:colOff>
      <xdr:row>2</xdr:row>
      <xdr:rowOff>127000</xdr:rowOff>
    </xdr:to>
    <xdr:sp macro="" textlink="">
      <xdr:nvSpPr>
        <xdr:cNvPr id="12" name="Speech Bubble: Rectangle 11">
          <a:extLst>
            <a:ext uri="{FF2B5EF4-FFF2-40B4-BE49-F238E27FC236}">
              <a16:creationId xmlns:a16="http://schemas.microsoft.com/office/drawing/2014/main" id="{04BDD532-F0C4-065D-877A-C9A8B4C29286}"/>
            </a:ext>
          </a:extLst>
        </xdr:cNvPr>
        <xdr:cNvSpPr/>
      </xdr:nvSpPr>
      <xdr:spPr>
        <a:xfrm>
          <a:off x="5245100" y="425450"/>
          <a:ext cx="1403350" cy="355600"/>
        </a:xfrm>
        <a:prstGeom prst="wedgeRectCallou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317500</xdr:colOff>
      <xdr:row>0</xdr:row>
      <xdr:rowOff>387350</xdr:rowOff>
    </xdr:from>
    <xdr:to>
      <xdr:col>10</xdr:col>
      <xdr:colOff>539750</xdr:colOff>
      <xdr:row>2</xdr:row>
      <xdr:rowOff>127000</xdr:rowOff>
    </xdr:to>
    <xdr:sp macro="" textlink="">
      <xdr:nvSpPr>
        <xdr:cNvPr id="13" name="Speech Bubble: Rectangle 12">
          <a:extLst>
            <a:ext uri="{FF2B5EF4-FFF2-40B4-BE49-F238E27FC236}">
              <a16:creationId xmlns:a16="http://schemas.microsoft.com/office/drawing/2014/main" id="{C0177406-6BC7-F440-0ECC-1B68190DA900}"/>
            </a:ext>
          </a:extLst>
        </xdr:cNvPr>
        <xdr:cNvSpPr/>
      </xdr:nvSpPr>
      <xdr:spPr>
        <a:xfrm>
          <a:off x="7981950" y="387350"/>
          <a:ext cx="1543050" cy="393700"/>
        </a:xfrm>
        <a:prstGeom prst="wedgeRectCallou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495300</xdr:colOff>
          <xdr:row>0</xdr:row>
          <xdr:rowOff>425450</xdr:rowOff>
        </xdr:from>
        <xdr:to>
          <xdr:col>7</xdr:col>
          <xdr:colOff>558800</xdr:colOff>
          <xdr:row>2</xdr:row>
          <xdr:rowOff>114300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0</xdr:row>
          <xdr:rowOff>412750</xdr:rowOff>
        </xdr:from>
        <xdr:to>
          <xdr:col>10</xdr:col>
          <xdr:colOff>393700</xdr:colOff>
          <xdr:row>2</xdr:row>
          <xdr:rowOff>107950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rag Rathor" refreshedDate="45791.645009259257" createdVersion="8" refreshedVersion="8" minRefreshableVersion="3" recordCount="141" xr:uid="{6CD189EC-33E9-4BCA-B3E3-3CC02788E79F}">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934017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n v="84"/>
    <n v="98"/>
    <n v="67"/>
    <n v="41"/>
    <n v="339"/>
    <n v="500"/>
    <n v="0.67800000000000005"/>
    <n v="0.32199999999999995"/>
  </r>
  <r>
    <s v="Mum-TCL002"/>
    <x v="1"/>
    <x v="1"/>
    <x v="1"/>
    <n v="85"/>
    <n v="47"/>
    <n v="15"/>
    <n v="48"/>
    <n v="239"/>
    <n v="500"/>
    <n v="0.47799999999999998"/>
    <n v="0.52200000000000002"/>
  </r>
  <r>
    <s v="Mum-TCL003"/>
    <x v="2"/>
    <x v="2"/>
    <x v="2"/>
    <n v="79"/>
    <n v="88"/>
    <n v="73"/>
    <n v="94"/>
    <n v="379"/>
    <n v="500"/>
    <n v="0.75800000000000001"/>
    <n v="0.24199999999999999"/>
  </r>
  <r>
    <s v="Mum-TCL004"/>
    <x v="3"/>
    <x v="3"/>
    <x v="3"/>
    <n v="99"/>
    <n v="13"/>
    <n v="95"/>
    <n v="29"/>
    <n v="288"/>
    <n v="500"/>
    <n v="0.57599999999999996"/>
    <n v="0.42400000000000004"/>
  </r>
  <r>
    <s v="Mum-TCL005"/>
    <x v="4"/>
    <x v="4"/>
    <x v="4"/>
    <n v="54"/>
    <n v="49"/>
    <n v="26"/>
    <n v="49"/>
    <n v="213"/>
    <n v="500"/>
    <n v="0.42599999999999999"/>
    <n v="0.57400000000000007"/>
  </r>
  <r>
    <s v="Mum-TCL006"/>
    <x v="5"/>
    <x v="5"/>
    <x v="5"/>
    <n v="31"/>
    <n v="23"/>
    <n v="48"/>
    <n v="77"/>
    <n v="265"/>
    <n v="500"/>
    <n v="0.53"/>
    <n v="0.47"/>
  </r>
  <r>
    <s v="Mum-TCL007"/>
    <x v="6"/>
    <x v="6"/>
    <x v="6"/>
    <n v="28"/>
    <n v="98"/>
    <n v="80"/>
    <n v="79"/>
    <n v="369"/>
    <n v="500"/>
    <n v="0.73799999999999999"/>
    <n v="0.26200000000000001"/>
  </r>
  <r>
    <s v="Mum-TCL008"/>
    <x v="7"/>
    <x v="7"/>
    <x v="7"/>
    <n v="97"/>
    <n v="38"/>
    <n v="24"/>
    <n v="53"/>
    <n v="285"/>
    <n v="500"/>
    <n v="0.56999999999999995"/>
    <n v="0.43000000000000005"/>
  </r>
  <r>
    <s v="Mum-TCL009"/>
    <x v="8"/>
    <x v="0"/>
    <x v="8"/>
    <n v="26"/>
    <n v="53"/>
    <n v="36"/>
    <n v="20"/>
    <n v="189"/>
    <n v="500"/>
    <n v="0.378"/>
    <n v="0.622"/>
  </r>
  <r>
    <s v="Mum-TCL010"/>
    <x v="9"/>
    <x v="1"/>
    <x v="3"/>
    <n v="52"/>
    <n v="19"/>
    <n v="53"/>
    <n v="37"/>
    <n v="213"/>
    <n v="500"/>
    <n v="0.42599999999999999"/>
    <n v="0.57400000000000007"/>
  </r>
  <r>
    <s v="Mum-TCL011"/>
    <x v="10"/>
    <x v="2"/>
    <x v="9"/>
    <n v="17"/>
    <n v="40"/>
    <n v="48"/>
    <n v="51"/>
    <n v="219"/>
    <n v="500"/>
    <n v="0.438"/>
    <n v="0.56200000000000006"/>
  </r>
  <r>
    <s v="Mum-TCL012"/>
    <x v="11"/>
    <x v="3"/>
    <x v="10"/>
    <n v="99"/>
    <n v="95"/>
    <n v="12"/>
    <n v="91"/>
    <n v="376"/>
    <n v="500"/>
    <n v="0.752"/>
    <n v="0.248"/>
  </r>
  <r>
    <s v="Mum-TCL013"/>
    <x v="12"/>
    <x v="4"/>
    <x v="11"/>
    <n v="88"/>
    <n v="11"/>
    <n v="78"/>
    <n v="60"/>
    <n v="332"/>
    <n v="500"/>
    <n v="0.66400000000000003"/>
    <n v="0.33599999999999997"/>
  </r>
  <r>
    <s v="Mum-TCL014"/>
    <x v="13"/>
    <x v="5"/>
    <x v="12"/>
    <n v="77"/>
    <n v="66"/>
    <n v="22"/>
    <n v="40"/>
    <n v="288"/>
    <n v="500"/>
    <n v="0.57599999999999996"/>
    <n v="0.42400000000000004"/>
  </r>
  <r>
    <s v="Mum-TCL015"/>
    <x v="14"/>
    <x v="6"/>
    <x v="13"/>
    <n v="58"/>
    <n v="34"/>
    <n v="84"/>
    <n v="31"/>
    <n v="285"/>
    <n v="500"/>
    <n v="0.56999999999999995"/>
    <n v="0.43000000000000005"/>
  </r>
  <r>
    <s v="Mum-TCL016"/>
    <x v="15"/>
    <x v="7"/>
    <x v="14"/>
    <n v="25"/>
    <n v="45"/>
    <n v="70"/>
    <n v="45"/>
    <n v="199"/>
    <n v="500"/>
    <n v="0.39800000000000002"/>
    <n v="0.60199999999999998"/>
  </r>
  <r>
    <s v="Mum-TCL017"/>
    <x v="16"/>
    <x v="0"/>
    <x v="15"/>
    <n v="69"/>
    <n v="96"/>
    <n v="66"/>
    <n v="38"/>
    <n v="306"/>
    <n v="500"/>
    <n v="0.61199999999999999"/>
    <n v="0.38800000000000001"/>
  </r>
  <r>
    <s v="Mum-TCL018"/>
    <x v="17"/>
    <x v="1"/>
    <x v="16"/>
    <n v="46"/>
    <n v="91"/>
    <n v="98"/>
    <n v="45"/>
    <n v="291"/>
    <n v="500"/>
    <n v="0.58199999999999996"/>
    <n v="0.41800000000000004"/>
  </r>
  <r>
    <s v="Mum-TCL019"/>
    <x v="18"/>
    <x v="2"/>
    <x v="17"/>
    <n v="34"/>
    <n v="64"/>
    <n v="65"/>
    <n v="70"/>
    <n v="252"/>
    <n v="500"/>
    <n v="0.504"/>
    <n v="0.496"/>
  </r>
  <r>
    <s v="Mum-TCL020"/>
    <x v="19"/>
    <x v="3"/>
    <x v="18"/>
    <n v="84"/>
    <n v="13"/>
    <n v="45"/>
    <n v="18"/>
    <n v="253"/>
    <n v="500"/>
    <n v="0.50600000000000001"/>
    <n v="0.49399999999999999"/>
  </r>
  <r>
    <s v="Mum-TCL021"/>
    <x v="20"/>
    <x v="4"/>
    <x v="19"/>
    <n v="73"/>
    <n v="97"/>
    <n v="76"/>
    <n v="53"/>
    <n v="367"/>
    <n v="500"/>
    <n v="0.73399999999999999"/>
    <n v="0.26600000000000001"/>
  </r>
  <r>
    <s v="Mum-TCL022"/>
    <x v="21"/>
    <x v="5"/>
    <x v="20"/>
    <n v="17"/>
    <n v="48"/>
    <n v="44"/>
    <n v="93"/>
    <n v="301"/>
    <n v="500"/>
    <n v="0.60199999999999998"/>
    <n v="0.39800000000000002"/>
  </r>
  <r>
    <s v="Mum-TCL023"/>
    <x v="22"/>
    <x v="6"/>
    <x v="21"/>
    <n v="28"/>
    <n v="31"/>
    <n v="34"/>
    <n v="52"/>
    <n v="202"/>
    <n v="500"/>
    <n v="0.40400000000000003"/>
    <n v="0.59599999999999997"/>
  </r>
  <r>
    <s v="Mum-TCL024"/>
    <x v="23"/>
    <x v="7"/>
    <x v="22"/>
    <n v="22"/>
    <n v="18"/>
    <n v="11"/>
    <n v="92"/>
    <n v="183"/>
    <n v="500"/>
    <n v="0.36599999999999999"/>
    <n v="0.63400000000000001"/>
  </r>
  <r>
    <s v="Mum-TCL025"/>
    <x v="24"/>
    <x v="0"/>
    <x v="23"/>
    <n v="99"/>
    <n v="94"/>
    <n v="75"/>
    <n v="29"/>
    <n v="344"/>
    <n v="500"/>
    <n v="0.68799999999999994"/>
    <n v="0.31200000000000006"/>
  </r>
  <r>
    <s v="Mum-TCL026"/>
    <x v="25"/>
    <x v="1"/>
    <x v="24"/>
    <n v="71"/>
    <n v="80"/>
    <n v="76"/>
    <n v="33"/>
    <n v="276"/>
    <n v="500"/>
    <n v="0.55200000000000005"/>
    <n v="0.44799999999999995"/>
  </r>
  <r>
    <s v="Mum-TCL027"/>
    <x v="26"/>
    <x v="2"/>
    <x v="25"/>
    <n v="87"/>
    <n v="92"/>
    <n v="72"/>
    <n v="34"/>
    <n v="357"/>
    <n v="500"/>
    <n v="0.71399999999999997"/>
    <n v="0.28600000000000003"/>
  </r>
  <r>
    <s v="Mum-TCL028"/>
    <x v="27"/>
    <x v="3"/>
    <x v="26"/>
    <n v="38"/>
    <n v="70"/>
    <n v="89"/>
    <n v="97"/>
    <n v="324"/>
    <n v="500"/>
    <n v="0.64800000000000002"/>
    <n v="0.35199999999999998"/>
  </r>
  <r>
    <s v="Mum-TCL029"/>
    <x v="28"/>
    <x v="4"/>
    <x v="27"/>
    <n v="90"/>
    <n v="91"/>
    <n v="85"/>
    <n v="10"/>
    <n v="341"/>
    <n v="500"/>
    <n v="0.68200000000000005"/>
    <n v="0.31799999999999995"/>
  </r>
  <r>
    <s v="Mum-TCL030"/>
    <x v="29"/>
    <x v="5"/>
    <x v="12"/>
    <n v="46"/>
    <n v="99"/>
    <n v="36"/>
    <n v="89"/>
    <n v="353"/>
    <n v="500"/>
    <n v="0.70599999999999996"/>
    <n v="0.29400000000000004"/>
  </r>
  <r>
    <s v="Mum-TCL031"/>
    <x v="30"/>
    <x v="6"/>
    <x v="28"/>
    <n v="66"/>
    <n v="40"/>
    <n v="22"/>
    <n v="38"/>
    <n v="176"/>
    <n v="500"/>
    <n v="0.35199999999999998"/>
    <n v="0.64800000000000002"/>
  </r>
  <r>
    <s v="Mum-TCL032"/>
    <x v="31"/>
    <x v="7"/>
    <x v="15"/>
    <n v="30"/>
    <n v="19"/>
    <n v="77"/>
    <n v="67"/>
    <n v="230"/>
    <n v="500"/>
    <n v="0.46"/>
    <n v="0.54"/>
  </r>
  <r>
    <s v="Mum-TCL033"/>
    <x v="32"/>
    <x v="0"/>
    <x v="12"/>
    <n v="46"/>
    <n v="17"/>
    <n v="94"/>
    <n v="92"/>
    <n v="332"/>
    <n v="500"/>
    <n v="0.66400000000000003"/>
    <n v="0.33599999999999997"/>
  </r>
  <r>
    <s v="Mum-TCL034"/>
    <x v="33"/>
    <x v="1"/>
    <x v="6"/>
    <n v="59"/>
    <n v="41"/>
    <n v="17"/>
    <n v="22"/>
    <n v="223"/>
    <n v="500"/>
    <n v="0.44600000000000001"/>
    <n v="0.55400000000000005"/>
  </r>
  <r>
    <s v="Mum-TCL035"/>
    <x v="34"/>
    <x v="2"/>
    <x v="29"/>
    <n v="54"/>
    <n v="79"/>
    <n v="61"/>
    <n v="47"/>
    <n v="323"/>
    <n v="500"/>
    <n v="0.64600000000000002"/>
    <n v="0.35399999999999998"/>
  </r>
  <r>
    <s v="Mum-TCL036"/>
    <x v="35"/>
    <x v="3"/>
    <x v="23"/>
    <n v="23"/>
    <n v="19"/>
    <n v="64"/>
    <n v="61"/>
    <n v="214"/>
    <n v="500"/>
    <n v="0.42799999999999999"/>
    <n v="0.57200000000000006"/>
  </r>
  <r>
    <s v="Mum-TCL037"/>
    <x v="36"/>
    <x v="4"/>
    <x v="30"/>
    <n v="13"/>
    <n v="79"/>
    <n v="85"/>
    <n v="67"/>
    <n v="335"/>
    <n v="500"/>
    <n v="0.67"/>
    <n v="0.32999999999999996"/>
  </r>
  <r>
    <s v="Mum-TCL038"/>
    <x v="37"/>
    <x v="5"/>
    <x v="31"/>
    <n v="59"/>
    <n v="25"/>
    <n v="55"/>
    <n v="59"/>
    <n v="264"/>
    <n v="500"/>
    <n v="0.52800000000000002"/>
    <n v="0.47199999999999998"/>
  </r>
  <r>
    <s v="Mum-TCL039"/>
    <x v="38"/>
    <x v="6"/>
    <x v="32"/>
    <n v="18"/>
    <n v="88"/>
    <n v="46"/>
    <n v="52"/>
    <n v="274"/>
    <n v="500"/>
    <n v="0.54800000000000004"/>
    <n v="0.45199999999999996"/>
  </r>
  <r>
    <s v="Mum-TCL040"/>
    <x v="39"/>
    <x v="7"/>
    <x v="15"/>
    <n v="60"/>
    <n v="44"/>
    <n v="61"/>
    <n v="30"/>
    <n v="232"/>
    <n v="500"/>
    <n v="0.46400000000000002"/>
    <n v="0.53600000000000003"/>
  </r>
  <r>
    <s v="Mum-TCL041"/>
    <x v="40"/>
    <x v="0"/>
    <x v="24"/>
    <n v="46"/>
    <n v="33"/>
    <n v="54"/>
    <n v="58"/>
    <n v="207"/>
    <n v="500"/>
    <n v="0.41399999999999998"/>
    <n v="0.58600000000000008"/>
  </r>
  <r>
    <s v="Mum-TCL042"/>
    <x v="41"/>
    <x v="1"/>
    <x v="23"/>
    <n v="97"/>
    <n v="74"/>
    <n v="97"/>
    <n v="56"/>
    <n v="371"/>
    <n v="500"/>
    <n v="0.74199999999999999"/>
    <n v="0.25800000000000001"/>
  </r>
  <r>
    <s v="Mum-TCL043"/>
    <x v="42"/>
    <x v="2"/>
    <x v="5"/>
    <n v="22"/>
    <n v="10"/>
    <n v="60"/>
    <n v="28"/>
    <n v="206"/>
    <n v="500"/>
    <n v="0.41199999999999998"/>
    <n v="0.58800000000000008"/>
  </r>
  <r>
    <s v="Mum-TCL044"/>
    <x v="43"/>
    <x v="3"/>
    <x v="33"/>
    <n v="17"/>
    <n v="45"/>
    <n v="64"/>
    <n v="13"/>
    <n v="213"/>
    <n v="500"/>
    <n v="0.42599999999999999"/>
    <n v="0.57400000000000007"/>
  </r>
  <r>
    <s v="Mum-TCL045"/>
    <x v="44"/>
    <x v="4"/>
    <x v="34"/>
    <n v="51"/>
    <n v="15"/>
    <n v="97"/>
    <n v="42"/>
    <n v="285"/>
    <n v="500"/>
    <n v="0.56999999999999995"/>
    <n v="0.43000000000000005"/>
  </r>
  <r>
    <s v="Mum-TCL046"/>
    <x v="45"/>
    <x v="5"/>
    <x v="0"/>
    <n v="82"/>
    <n v="95"/>
    <n v="46"/>
    <n v="78"/>
    <n v="350"/>
    <n v="500"/>
    <n v="0.7"/>
    <n v="0.30000000000000004"/>
  </r>
  <r>
    <s v="Mum-TCL047"/>
    <x v="46"/>
    <x v="6"/>
    <x v="35"/>
    <n v="88"/>
    <n v="12"/>
    <n v="54"/>
    <n v="21"/>
    <n v="192"/>
    <n v="500"/>
    <n v="0.38400000000000001"/>
    <n v="0.61599999999999999"/>
  </r>
  <r>
    <s v="Mum-TCL048"/>
    <x v="47"/>
    <x v="7"/>
    <x v="33"/>
    <n v="16"/>
    <n v="74"/>
    <n v="36"/>
    <n v="33"/>
    <n v="233"/>
    <n v="500"/>
    <n v="0.46600000000000003"/>
    <n v="0.53400000000000003"/>
  </r>
  <r>
    <s v="Mum-TCL049"/>
    <x v="48"/>
    <x v="0"/>
    <x v="7"/>
    <n v="72"/>
    <n v="38"/>
    <n v="19"/>
    <n v="90"/>
    <n v="292"/>
    <n v="500"/>
    <n v="0.58399999999999996"/>
    <n v="0.41600000000000004"/>
  </r>
  <r>
    <s v="Mum-TCL050"/>
    <x v="49"/>
    <x v="1"/>
    <x v="35"/>
    <n v="84"/>
    <n v="90"/>
    <n v="77"/>
    <n v="72"/>
    <n v="340"/>
    <n v="500"/>
    <n v="0.68"/>
    <n v="0.31999999999999995"/>
  </r>
  <r>
    <s v="Mum-TCL051"/>
    <x v="50"/>
    <x v="2"/>
    <x v="3"/>
    <n v="36"/>
    <n v="84"/>
    <n v="41"/>
    <n v="57"/>
    <n v="270"/>
    <n v="500"/>
    <n v="0.54"/>
    <n v="0.45999999999999996"/>
  </r>
  <r>
    <s v="Mum-TCL052"/>
    <x v="51"/>
    <x v="3"/>
    <x v="27"/>
    <n v="67"/>
    <n v="72"/>
    <n v="22"/>
    <n v="23"/>
    <n v="249"/>
    <n v="500"/>
    <n v="0.498"/>
    <n v="0.502"/>
  </r>
  <r>
    <s v="Mum-TCL053"/>
    <x v="52"/>
    <x v="4"/>
    <x v="36"/>
    <n v="39"/>
    <n v="25"/>
    <n v="99"/>
    <n v="71"/>
    <n v="322"/>
    <n v="500"/>
    <n v="0.64400000000000002"/>
    <n v="0.35599999999999998"/>
  </r>
  <r>
    <s v="Mum-TCL054"/>
    <x v="53"/>
    <x v="5"/>
    <x v="37"/>
    <n v="14"/>
    <n v="15"/>
    <n v="58"/>
    <n v="79"/>
    <n v="189"/>
    <n v="500"/>
    <n v="0.378"/>
    <n v="0.622"/>
  </r>
  <r>
    <s v="Mum-TCL055"/>
    <x v="54"/>
    <x v="6"/>
    <x v="38"/>
    <n v="67"/>
    <n v="48"/>
    <n v="95"/>
    <n v="35"/>
    <n v="260"/>
    <n v="500"/>
    <n v="0.52"/>
    <n v="0.48"/>
  </r>
  <r>
    <s v="Mum-TCL056"/>
    <x v="55"/>
    <x v="7"/>
    <x v="39"/>
    <n v="35"/>
    <n v="82"/>
    <n v="31"/>
    <n v="26"/>
    <n v="192"/>
    <n v="500"/>
    <n v="0.38400000000000001"/>
    <n v="0.61599999999999999"/>
  </r>
  <r>
    <s v="Mum-TCL057"/>
    <x v="56"/>
    <x v="0"/>
    <x v="21"/>
    <n v="60"/>
    <n v="42"/>
    <n v="81"/>
    <n v="44"/>
    <n v="284"/>
    <n v="500"/>
    <n v="0.56799999999999995"/>
    <n v="0.43200000000000005"/>
  </r>
  <r>
    <s v="Mum-TCL058"/>
    <x v="57"/>
    <x v="1"/>
    <x v="40"/>
    <n v="97"/>
    <n v="66"/>
    <n v="45"/>
    <n v="50"/>
    <n v="292"/>
    <n v="500"/>
    <n v="0.58399999999999996"/>
    <n v="0.41600000000000004"/>
  </r>
  <r>
    <s v="Mum-TCL059"/>
    <x v="58"/>
    <x v="2"/>
    <x v="12"/>
    <n v="12"/>
    <n v="70"/>
    <n v="83"/>
    <n v="52"/>
    <n v="300"/>
    <n v="500"/>
    <n v="0.6"/>
    <n v="0.4"/>
  </r>
  <r>
    <s v="Mum-TCL060"/>
    <x v="59"/>
    <x v="3"/>
    <x v="41"/>
    <n v="55"/>
    <n v="56"/>
    <n v="16"/>
    <n v="61"/>
    <n v="264"/>
    <n v="500"/>
    <n v="0.52800000000000002"/>
    <n v="0.47199999999999998"/>
  </r>
  <r>
    <s v="Mum-TCL061"/>
    <x v="60"/>
    <x v="4"/>
    <x v="22"/>
    <n v="70"/>
    <n v="19"/>
    <n v="36"/>
    <n v="52"/>
    <n v="217"/>
    <n v="500"/>
    <n v="0.434"/>
    <n v="0.56600000000000006"/>
  </r>
  <r>
    <s v="Mum-TCL062"/>
    <x v="61"/>
    <x v="5"/>
    <x v="1"/>
    <n v="60"/>
    <n v="71"/>
    <n v="34"/>
    <n v="37"/>
    <n v="246"/>
    <n v="500"/>
    <n v="0.49199999999999999"/>
    <n v="0.50800000000000001"/>
  </r>
  <r>
    <s v="Mum-TCL063"/>
    <x v="62"/>
    <x v="6"/>
    <x v="42"/>
    <n v="78"/>
    <n v="15"/>
    <n v="98"/>
    <n v="33"/>
    <n v="267"/>
    <n v="500"/>
    <n v="0.53400000000000003"/>
    <n v="0.46599999999999997"/>
  </r>
  <r>
    <s v="Mum-TCL064"/>
    <x v="63"/>
    <x v="7"/>
    <x v="43"/>
    <n v="75"/>
    <n v="89"/>
    <n v="97"/>
    <n v="49"/>
    <n v="385"/>
    <n v="500"/>
    <n v="0.77"/>
    <n v="0.22999999999999998"/>
  </r>
  <r>
    <s v="Mum-TCL065"/>
    <x v="64"/>
    <x v="0"/>
    <x v="33"/>
    <n v="51"/>
    <n v="97"/>
    <n v="73"/>
    <n v="33"/>
    <n v="328"/>
    <n v="500"/>
    <n v="0.65600000000000003"/>
    <n v="0.34399999999999997"/>
  </r>
  <r>
    <s v="Mum-TCL066"/>
    <x v="65"/>
    <x v="1"/>
    <x v="1"/>
    <n v="36"/>
    <n v="11"/>
    <n v="45"/>
    <n v="30"/>
    <n v="166"/>
    <n v="500"/>
    <n v="0.33200000000000002"/>
    <n v="0.66799999999999993"/>
  </r>
  <r>
    <s v="Mum-TCL067"/>
    <x v="66"/>
    <x v="2"/>
    <x v="44"/>
    <n v="79"/>
    <n v="46"/>
    <n v="65"/>
    <n v="65"/>
    <n v="342"/>
    <n v="500"/>
    <n v="0.68400000000000005"/>
    <n v="0.31599999999999995"/>
  </r>
  <r>
    <s v="Mum-TCL068"/>
    <x v="67"/>
    <x v="3"/>
    <x v="32"/>
    <n v="52"/>
    <n v="80"/>
    <n v="43"/>
    <n v="48"/>
    <n v="293"/>
    <n v="500"/>
    <n v="0.58599999999999997"/>
    <n v="0.41400000000000003"/>
  </r>
  <r>
    <s v="Mum-TCL069"/>
    <x v="68"/>
    <x v="4"/>
    <x v="2"/>
    <n v="26"/>
    <n v="27"/>
    <n v="14"/>
    <n v="59"/>
    <n v="171"/>
    <n v="500"/>
    <n v="0.34200000000000003"/>
    <n v="0.65799999999999992"/>
  </r>
  <r>
    <s v="Mum-TCL070"/>
    <x v="69"/>
    <x v="5"/>
    <x v="45"/>
    <n v="26"/>
    <n v="58"/>
    <n v="83"/>
    <n v="11"/>
    <n v="229"/>
    <n v="500"/>
    <n v="0.45800000000000002"/>
    <n v="0.54200000000000004"/>
  </r>
  <r>
    <s v="Mum-TCL071"/>
    <x v="70"/>
    <x v="6"/>
    <x v="19"/>
    <n v="36"/>
    <n v="15"/>
    <n v="20"/>
    <n v="17"/>
    <n v="156"/>
    <n v="500"/>
    <n v="0.312"/>
    <n v="0.68799999999999994"/>
  </r>
  <r>
    <s v="Mum-TCL072"/>
    <x v="71"/>
    <x v="7"/>
    <x v="46"/>
    <n v="74"/>
    <n v="18"/>
    <n v="33"/>
    <n v="51"/>
    <n v="208"/>
    <n v="500"/>
    <n v="0.41599999999999998"/>
    <n v="0.58400000000000007"/>
  </r>
  <r>
    <s v="Mum-TCL073"/>
    <x v="72"/>
    <x v="0"/>
    <x v="47"/>
    <n v="11"/>
    <n v="46"/>
    <n v="35"/>
    <n v="10"/>
    <n v="143"/>
    <n v="500"/>
    <n v="0.28599999999999998"/>
    <n v="0.71399999999999997"/>
  </r>
  <r>
    <s v="Mum-TCL074"/>
    <x v="73"/>
    <x v="1"/>
    <x v="47"/>
    <n v="17"/>
    <n v="82"/>
    <n v="75"/>
    <n v="39"/>
    <n v="254"/>
    <n v="500"/>
    <n v="0.50800000000000001"/>
    <n v="0.49199999999999999"/>
  </r>
  <r>
    <s v="Mum-TCL075"/>
    <x v="74"/>
    <x v="2"/>
    <x v="48"/>
    <n v="97"/>
    <n v="45"/>
    <n v="29"/>
    <n v="41"/>
    <n v="224"/>
    <n v="500"/>
    <n v="0.44800000000000001"/>
    <n v="0.55200000000000005"/>
  </r>
  <r>
    <s v="Mum-TCL076"/>
    <x v="75"/>
    <x v="3"/>
    <x v="17"/>
    <n v="72"/>
    <n v="87"/>
    <n v="82"/>
    <n v="27"/>
    <n v="287"/>
    <n v="500"/>
    <n v="0.57399999999999995"/>
    <n v="0.42600000000000005"/>
  </r>
  <r>
    <s v="Mum-TCL077"/>
    <x v="76"/>
    <x v="4"/>
    <x v="49"/>
    <n v="15"/>
    <n v="72"/>
    <n v="67"/>
    <n v="34"/>
    <n v="286"/>
    <n v="500"/>
    <n v="0.57199999999999995"/>
    <n v="0.42800000000000005"/>
  </r>
  <r>
    <s v="Mum-TCL078"/>
    <x v="77"/>
    <x v="5"/>
    <x v="50"/>
    <n v="44"/>
    <n v="46"/>
    <n v="13"/>
    <n v="92"/>
    <n v="245"/>
    <n v="500"/>
    <n v="0.49"/>
    <n v="0.51"/>
  </r>
  <r>
    <s v="Mum-TCL079"/>
    <x v="78"/>
    <x v="6"/>
    <x v="22"/>
    <n v="82"/>
    <n v="72"/>
    <n v="42"/>
    <n v="45"/>
    <n v="281"/>
    <n v="500"/>
    <n v="0.56200000000000006"/>
    <n v="0.43799999999999994"/>
  </r>
  <r>
    <s v="Mum-TCL080"/>
    <x v="79"/>
    <x v="7"/>
    <x v="37"/>
    <n v="83"/>
    <n v="63"/>
    <n v="65"/>
    <n v="83"/>
    <n v="317"/>
    <n v="500"/>
    <n v="0.63400000000000001"/>
    <n v="0.36599999999999999"/>
  </r>
  <r>
    <s v="Mum-TCL081"/>
    <x v="80"/>
    <x v="0"/>
    <x v="51"/>
    <n v="94"/>
    <n v="45"/>
    <n v="95"/>
    <n v="46"/>
    <n v="351"/>
    <n v="500"/>
    <n v="0.70199999999999996"/>
    <n v="0.29800000000000004"/>
  </r>
  <r>
    <s v="Mum-TCL082"/>
    <x v="81"/>
    <x v="1"/>
    <x v="52"/>
    <n v="49"/>
    <n v="68"/>
    <n v="23"/>
    <n v="21"/>
    <n v="209"/>
    <n v="500"/>
    <n v="0.41799999999999998"/>
    <n v="0.58200000000000007"/>
  </r>
  <r>
    <s v="Mum-TCL083"/>
    <x v="82"/>
    <x v="2"/>
    <x v="53"/>
    <n v="83"/>
    <n v="64"/>
    <n v="53"/>
    <n v="13"/>
    <n v="290"/>
    <n v="500"/>
    <n v="0.57999999999999996"/>
    <n v="0.42000000000000004"/>
  </r>
  <r>
    <s v="Mum-TCL084"/>
    <x v="83"/>
    <x v="3"/>
    <x v="54"/>
    <n v="63"/>
    <n v="88"/>
    <n v="89"/>
    <n v="63"/>
    <n v="384"/>
    <n v="500"/>
    <n v="0.76800000000000002"/>
    <n v="0.23199999999999998"/>
  </r>
  <r>
    <s v="Mum-TCL085"/>
    <x v="84"/>
    <x v="4"/>
    <x v="55"/>
    <n v="87"/>
    <n v="62"/>
    <n v="80"/>
    <n v="81"/>
    <n v="349"/>
    <n v="500"/>
    <n v="0.69799999999999995"/>
    <n v="0.30200000000000005"/>
  </r>
  <r>
    <s v="Mum-TCL086"/>
    <x v="85"/>
    <x v="5"/>
    <x v="56"/>
    <n v="19"/>
    <n v="59"/>
    <n v="58"/>
    <n v="33"/>
    <n v="215"/>
    <n v="500"/>
    <n v="0.43"/>
    <n v="0.57000000000000006"/>
  </r>
  <r>
    <s v="Mum-TCL087"/>
    <x v="86"/>
    <x v="6"/>
    <x v="40"/>
    <n v="15"/>
    <n v="43"/>
    <n v="63"/>
    <n v="54"/>
    <n v="209"/>
    <n v="500"/>
    <n v="0.41799999999999998"/>
    <n v="0.58200000000000007"/>
  </r>
  <r>
    <s v="Mum-TCL088"/>
    <x v="87"/>
    <x v="7"/>
    <x v="46"/>
    <n v="79"/>
    <n v="65"/>
    <n v="57"/>
    <n v="73"/>
    <n v="306"/>
    <n v="500"/>
    <n v="0.61199999999999999"/>
    <n v="0.38800000000000001"/>
  </r>
  <r>
    <s v="Mum-TCL089"/>
    <x v="88"/>
    <x v="0"/>
    <x v="25"/>
    <n v="82"/>
    <n v="58"/>
    <n v="36"/>
    <n v="33"/>
    <n v="281"/>
    <n v="500"/>
    <n v="0.56200000000000006"/>
    <n v="0.43799999999999994"/>
  </r>
  <r>
    <s v="Mum-TCL090"/>
    <x v="89"/>
    <x v="1"/>
    <x v="16"/>
    <n v="69"/>
    <n v="49"/>
    <n v="90"/>
    <n v="99"/>
    <n v="318"/>
    <n v="500"/>
    <n v="0.63600000000000001"/>
    <n v="0.36399999999999999"/>
  </r>
  <r>
    <s v="Mum-TCL091"/>
    <x v="90"/>
    <x v="2"/>
    <x v="34"/>
    <n v="73"/>
    <n v="21"/>
    <n v="72"/>
    <n v="54"/>
    <n v="300"/>
    <n v="500"/>
    <n v="0.6"/>
    <n v="0.4"/>
  </r>
  <r>
    <s v="Mum-TCL092"/>
    <x v="91"/>
    <x v="3"/>
    <x v="18"/>
    <n v="42"/>
    <n v="38"/>
    <n v="98"/>
    <n v="10"/>
    <n v="281"/>
    <n v="500"/>
    <n v="0.56200000000000006"/>
    <n v="0.43799999999999994"/>
  </r>
  <r>
    <s v="Mum-TCL093"/>
    <x v="92"/>
    <x v="4"/>
    <x v="39"/>
    <n v="80"/>
    <n v="20"/>
    <n v="32"/>
    <n v="95"/>
    <n v="245"/>
    <n v="500"/>
    <n v="0.49"/>
    <n v="0.51"/>
  </r>
  <r>
    <s v="Mum-TCL094"/>
    <x v="93"/>
    <x v="5"/>
    <x v="57"/>
    <n v="14"/>
    <n v="20"/>
    <n v="31"/>
    <n v="44"/>
    <n v="205"/>
    <n v="500"/>
    <n v="0.41"/>
    <n v="0.59000000000000008"/>
  </r>
  <r>
    <s v="Mum-TCL095"/>
    <x v="94"/>
    <x v="6"/>
    <x v="15"/>
    <n v="60"/>
    <n v="50"/>
    <n v="68"/>
    <n v="19"/>
    <n v="234"/>
    <n v="500"/>
    <n v="0.46800000000000003"/>
    <n v="0.53200000000000003"/>
  </r>
  <r>
    <s v="Mum-TCL096"/>
    <x v="95"/>
    <x v="7"/>
    <x v="4"/>
    <n v="79"/>
    <n v="17"/>
    <n v="85"/>
    <n v="16"/>
    <n v="232"/>
    <n v="500"/>
    <n v="0.46400000000000002"/>
    <n v="0.53600000000000003"/>
  </r>
  <r>
    <s v="Mum-TCL097"/>
    <x v="96"/>
    <x v="0"/>
    <x v="58"/>
    <n v="48"/>
    <n v="56"/>
    <n v="85"/>
    <n v="25"/>
    <n v="245"/>
    <n v="500"/>
    <n v="0.49"/>
    <n v="0.51"/>
  </r>
  <r>
    <s v="Mum-TCL098"/>
    <x v="97"/>
    <x v="1"/>
    <x v="37"/>
    <n v="83"/>
    <n v="86"/>
    <n v="69"/>
    <n v="25"/>
    <n v="286"/>
    <n v="500"/>
    <n v="0.57199999999999995"/>
    <n v="0.42800000000000005"/>
  </r>
  <r>
    <s v="Mum-TCL099"/>
    <x v="98"/>
    <x v="2"/>
    <x v="35"/>
    <n v="97"/>
    <n v="81"/>
    <n v="32"/>
    <n v="76"/>
    <n v="303"/>
    <n v="500"/>
    <n v="0.60599999999999998"/>
    <n v="0.39400000000000002"/>
  </r>
  <r>
    <s v="Mum-TCL100"/>
    <x v="99"/>
    <x v="3"/>
    <x v="59"/>
    <n v="45"/>
    <n v="43"/>
    <n v="91"/>
    <n v="47"/>
    <n v="318"/>
    <n v="500"/>
    <n v="0.63600000000000001"/>
    <n v="0.36399999999999999"/>
  </r>
  <r>
    <s v="Mum-TCL101"/>
    <x v="100"/>
    <x v="4"/>
    <x v="0"/>
    <n v="77"/>
    <n v="18"/>
    <n v="69"/>
    <n v="55"/>
    <n v="268"/>
    <n v="500"/>
    <n v="0.53600000000000003"/>
    <n v="0.46399999999999997"/>
  </r>
  <r>
    <s v="Mum-TCL102"/>
    <x v="101"/>
    <x v="5"/>
    <x v="54"/>
    <n v="88"/>
    <n v="19"/>
    <n v="95"/>
    <n v="39"/>
    <n v="322"/>
    <n v="500"/>
    <n v="0.64400000000000002"/>
    <n v="0.35599999999999998"/>
  </r>
  <r>
    <s v="Mum-TCL103"/>
    <x v="102"/>
    <x v="6"/>
    <x v="60"/>
    <n v="14"/>
    <n v="41"/>
    <n v="40"/>
    <n v="70"/>
    <n v="220"/>
    <n v="500"/>
    <n v="0.44"/>
    <n v="0.56000000000000005"/>
  </r>
  <r>
    <s v="Mum-TCL104"/>
    <x v="103"/>
    <x v="7"/>
    <x v="5"/>
    <n v="13"/>
    <n v="99"/>
    <n v="25"/>
    <n v="83"/>
    <n v="306"/>
    <n v="500"/>
    <n v="0.61199999999999999"/>
    <n v="0.38800000000000001"/>
  </r>
  <r>
    <s v="Mum-TCL105"/>
    <x v="104"/>
    <x v="0"/>
    <x v="36"/>
    <n v="96"/>
    <n v="16"/>
    <n v="65"/>
    <n v="86"/>
    <n v="351"/>
    <n v="500"/>
    <n v="0.70199999999999996"/>
    <n v="0.29800000000000004"/>
  </r>
  <r>
    <s v="Mum-TCL106"/>
    <x v="105"/>
    <x v="1"/>
    <x v="61"/>
    <n v="73"/>
    <n v="34"/>
    <n v="30"/>
    <n v="30"/>
    <n v="228"/>
    <n v="500"/>
    <n v="0.45600000000000002"/>
    <n v="0.54400000000000004"/>
  </r>
  <r>
    <s v="Mum-TCL107"/>
    <x v="106"/>
    <x v="2"/>
    <x v="61"/>
    <n v="91"/>
    <n v="53"/>
    <n v="78"/>
    <n v="91"/>
    <n v="374"/>
    <n v="500"/>
    <n v="0.748"/>
    <n v="0.252"/>
  </r>
  <r>
    <s v="Mum-TCL108"/>
    <x v="107"/>
    <x v="3"/>
    <x v="43"/>
    <n v="53"/>
    <n v="27"/>
    <n v="26"/>
    <n v="30"/>
    <n v="211"/>
    <n v="500"/>
    <n v="0.42199999999999999"/>
    <n v="0.57800000000000007"/>
  </r>
  <r>
    <s v="Mum-TCL109"/>
    <x v="108"/>
    <x v="4"/>
    <x v="62"/>
    <n v="31"/>
    <n v="41"/>
    <n v="57"/>
    <n v="83"/>
    <n v="236"/>
    <n v="500"/>
    <n v="0.47199999999999998"/>
    <n v="0.52800000000000002"/>
  </r>
  <r>
    <s v="Mum-TCL110"/>
    <x v="109"/>
    <x v="5"/>
    <x v="12"/>
    <n v="62"/>
    <n v="32"/>
    <n v="83"/>
    <n v="95"/>
    <n v="355"/>
    <n v="500"/>
    <n v="0.71"/>
    <n v="0.29000000000000004"/>
  </r>
  <r>
    <s v="Mum-TCL111"/>
    <x v="110"/>
    <x v="6"/>
    <x v="55"/>
    <n v="52"/>
    <n v="72"/>
    <n v="99"/>
    <n v="58"/>
    <n v="320"/>
    <n v="500"/>
    <n v="0.64"/>
    <n v="0.36"/>
  </r>
  <r>
    <s v="Mum-TCL112"/>
    <x v="111"/>
    <x v="7"/>
    <x v="18"/>
    <n v="74"/>
    <n v="85"/>
    <n v="47"/>
    <n v="90"/>
    <n v="389"/>
    <n v="500"/>
    <n v="0.77800000000000002"/>
    <n v="0.22199999999999998"/>
  </r>
  <r>
    <s v="Mum-TCL113"/>
    <x v="112"/>
    <x v="0"/>
    <x v="42"/>
    <n v="88"/>
    <n v="35"/>
    <n v="54"/>
    <n v="91"/>
    <n v="311"/>
    <n v="500"/>
    <n v="0.622"/>
    <n v="0.378"/>
  </r>
  <r>
    <s v="Mum-TCL114"/>
    <x v="113"/>
    <x v="1"/>
    <x v="44"/>
    <n v="15"/>
    <n v="11"/>
    <n v="42"/>
    <n v="88"/>
    <n v="243"/>
    <n v="500"/>
    <n v="0.48599999999999999"/>
    <n v="0.51400000000000001"/>
  </r>
  <r>
    <s v="Mum-TCL115"/>
    <x v="114"/>
    <x v="2"/>
    <x v="2"/>
    <n v="45"/>
    <n v="61"/>
    <n v="11"/>
    <n v="52"/>
    <n v="214"/>
    <n v="500"/>
    <n v="0.42799999999999999"/>
    <n v="0.57200000000000006"/>
  </r>
  <r>
    <s v="Mum-TCL116"/>
    <x v="115"/>
    <x v="3"/>
    <x v="51"/>
    <n v="42"/>
    <n v="17"/>
    <n v="57"/>
    <n v="96"/>
    <n v="283"/>
    <n v="500"/>
    <n v="0.56599999999999995"/>
    <n v="0.43400000000000005"/>
  </r>
  <r>
    <s v="Mum-TCL117"/>
    <x v="116"/>
    <x v="4"/>
    <x v="63"/>
    <n v="65"/>
    <n v="17"/>
    <n v="28"/>
    <n v="30"/>
    <n v="166"/>
    <n v="500"/>
    <n v="0.33200000000000002"/>
    <n v="0.66799999999999993"/>
  </r>
  <r>
    <s v="Mum-TCL118"/>
    <x v="117"/>
    <x v="5"/>
    <x v="63"/>
    <n v="61"/>
    <n v="89"/>
    <n v="71"/>
    <n v="33"/>
    <n v="280"/>
    <n v="500"/>
    <n v="0.56000000000000005"/>
    <n v="0.43999999999999995"/>
  </r>
  <r>
    <s v="Mum-TCL119"/>
    <x v="118"/>
    <x v="6"/>
    <x v="18"/>
    <n v="11"/>
    <n v="93"/>
    <n v="31"/>
    <n v="30"/>
    <n v="258"/>
    <n v="500"/>
    <n v="0.51600000000000001"/>
    <n v="0.48399999999999999"/>
  </r>
  <r>
    <s v="Mum-TCL120"/>
    <x v="119"/>
    <x v="7"/>
    <x v="27"/>
    <n v="92"/>
    <n v="48"/>
    <n v="96"/>
    <n v="15"/>
    <n v="316"/>
    <n v="500"/>
    <n v="0.63200000000000001"/>
    <n v="0.36799999999999999"/>
  </r>
  <r>
    <s v="Mum-TCL121"/>
    <x v="120"/>
    <x v="0"/>
    <x v="30"/>
    <n v="38"/>
    <n v="33"/>
    <n v="55"/>
    <n v="83"/>
    <n v="300"/>
    <n v="500"/>
    <n v="0.6"/>
    <n v="0.4"/>
  </r>
  <r>
    <s v="Mum-TCL122"/>
    <x v="121"/>
    <x v="1"/>
    <x v="64"/>
    <n v="94"/>
    <n v="45"/>
    <n v="70"/>
    <n v="98"/>
    <n v="327"/>
    <n v="500"/>
    <n v="0.65400000000000003"/>
    <n v="0.34599999999999997"/>
  </r>
  <r>
    <s v="Mum-TCL123"/>
    <x v="122"/>
    <x v="2"/>
    <x v="65"/>
    <n v="83"/>
    <n v="26"/>
    <n v="68"/>
    <n v="22"/>
    <n v="224"/>
    <n v="500"/>
    <n v="0.44800000000000001"/>
    <n v="0.55200000000000005"/>
  </r>
  <r>
    <s v="Mum-TCL124"/>
    <x v="123"/>
    <x v="3"/>
    <x v="63"/>
    <n v="16"/>
    <n v="61"/>
    <n v="92"/>
    <n v="50"/>
    <n v="245"/>
    <n v="500"/>
    <n v="0.49"/>
    <n v="0.51"/>
  </r>
  <r>
    <s v="Mum-TCL125"/>
    <x v="124"/>
    <x v="4"/>
    <x v="58"/>
    <n v="55"/>
    <n v="75"/>
    <n v="66"/>
    <n v="75"/>
    <n v="302"/>
    <n v="500"/>
    <n v="0.60399999999999998"/>
    <n v="0.39600000000000002"/>
  </r>
  <r>
    <s v="Mum-TCL126"/>
    <x v="125"/>
    <x v="5"/>
    <x v="47"/>
    <n v="66"/>
    <n v="48"/>
    <n v="70"/>
    <n v="48"/>
    <n v="273"/>
    <n v="500"/>
    <n v="0.54600000000000004"/>
    <n v="0.45399999999999996"/>
  </r>
  <r>
    <s v="Mum-TCL127"/>
    <x v="126"/>
    <x v="6"/>
    <x v="66"/>
    <n v="92"/>
    <n v="32"/>
    <n v="60"/>
    <n v="78"/>
    <n v="322"/>
    <n v="500"/>
    <n v="0.64400000000000002"/>
    <n v="0.35599999999999998"/>
  </r>
  <r>
    <s v="Mum-TCL128"/>
    <x v="127"/>
    <x v="7"/>
    <x v="67"/>
    <n v="24"/>
    <n v="19"/>
    <n v="82"/>
    <n v="16"/>
    <n v="183"/>
    <n v="500"/>
    <n v="0.36599999999999999"/>
    <n v="0.63400000000000001"/>
  </r>
  <r>
    <s v="Mum-TCL129"/>
    <x v="128"/>
    <x v="0"/>
    <x v="63"/>
    <n v="85"/>
    <n v="75"/>
    <n v="83"/>
    <n v="37"/>
    <n v="306"/>
    <n v="500"/>
    <n v="0.61199999999999999"/>
    <n v="0.38800000000000001"/>
  </r>
  <r>
    <s v="Mum-TCL130"/>
    <x v="129"/>
    <x v="1"/>
    <x v="54"/>
    <n v="68"/>
    <n v="74"/>
    <n v="72"/>
    <n v="12"/>
    <n v="307"/>
    <n v="500"/>
    <n v="0.61399999999999999"/>
    <n v="0.38600000000000001"/>
  </r>
  <r>
    <s v="Mum-TCL131"/>
    <x v="130"/>
    <x v="2"/>
    <x v="68"/>
    <n v="79"/>
    <n v="99"/>
    <n v="60"/>
    <n v="27"/>
    <n v="355"/>
    <n v="500"/>
    <n v="0.71"/>
    <n v="0.29000000000000004"/>
  </r>
  <r>
    <s v="Mum-TCL132"/>
    <x v="131"/>
    <x v="3"/>
    <x v="51"/>
    <n v="21"/>
    <n v="70"/>
    <n v="53"/>
    <n v="49"/>
    <n v="264"/>
    <n v="500"/>
    <n v="0.52800000000000002"/>
    <n v="0.47199999999999998"/>
  </r>
  <r>
    <s v="Mum-TCL133"/>
    <x v="132"/>
    <x v="4"/>
    <x v="5"/>
    <n v="60"/>
    <n v="59"/>
    <n v="51"/>
    <n v="90"/>
    <n v="346"/>
    <n v="500"/>
    <n v="0.69199999999999995"/>
    <n v="0.30800000000000005"/>
  </r>
  <r>
    <s v="Mum-TCL134"/>
    <x v="133"/>
    <x v="5"/>
    <x v="19"/>
    <n v="61"/>
    <n v="12"/>
    <n v="41"/>
    <n v="35"/>
    <n v="217"/>
    <n v="500"/>
    <n v="0.434"/>
    <n v="0.56600000000000006"/>
  </r>
  <r>
    <s v="Mum-TCL135"/>
    <x v="134"/>
    <x v="6"/>
    <x v="27"/>
    <n v="34"/>
    <n v="15"/>
    <n v="86"/>
    <n v="71"/>
    <n v="271"/>
    <n v="500"/>
    <n v="0.54200000000000004"/>
    <n v="0.45799999999999996"/>
  </r>
  <r>
    <s v="Mum-TCL136"/>
    <x v="135"/>
    <x v="7"/>
    <x v="30"/>
    <n v="21"/>
    <n v="59"/>
    <n v="85"/>
    <n v="60"/>
    <n v="316"/>
    <n v="500"/>
    <n v="0.63200000000000001"/>
    <n v="0.36799999999999999"/>
  </r>
  <r>
    <s v="Mum-TCL137"/>
    <x v="136"/>
    <x v="0"/>
    <x v="7"/>
    <n v="67"/>
    <n v="49"/>
    <n v="56"/>
    <n v="43"/>
    <n v="288"/>
    <n v="500"/>
    <n v="0.57599999999999996"/>
    <n v="0.42400000000000004"/>
  </r>
  <r>
    <s v="Mum-TCL138"/>
    <x v="137"/>
    <x v="1"/>
    <x v="25"/>
    <n v="49"/>
    <n v="93"/>
    <n v="95"/>
    <n v="73"/>
    <n v="382"/>
    <n v="500"/>
    <n v="0.76400000000000001"/>
    <n v="0.23599999999999999"/>
  </r>
  <r>
    <s v="Mum-TCL139"/>
    <x v="138"/>
    <x v="2"/>
    <x v="69"/>
    <n v="43"/>
    <n v="74"/>
    <n v="26"/>
    <n v="88"/>
    <n v="316"/>
    <n v="500"/>
    <n v="0.63200000000000001"/>
    <n v="0.36799999999999999"/>
  </r>
  <r>
    <s v="Mum-TCL140"/>
    <x v="139"/>
    <x v="3"/>
    <x v="53"/>
    <n v="81"/>
    <n v="10"/>
    <n v="65"/>
    <n v="83"/>
    <n v="316"/>
    <n v="500"/>
    <n v="0.63200000000000001"/>
    <n v="0.36799999999999999"/>
  </r>
  <r>
    <s v="Mum-TCL141"/>
    <x v="140"/>
    <x v="4"/>
    <x v="5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0BD710-0D58-4865-AD44-DDA5B04506F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rowHeaderCaption="SALES EXECUTIVE">
  <location ref="A4:B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6">
    <i>
      <x v="3"/>
    </i>
    <i>
      <x v="102"/>
    </i>
    <i>
      <x v="94"/>
    </i>
    <i>
      <x v="21"/>
    </i>
    <i>
      <x v="53"/>
    </i>
    <i t="grand">
      <x/>
    </i>
  </rowItems>
  <colItems count="1">
    <i/>
  </colItems>
  <dataFields count="1">
    <dataField name="TOTAL SALES " fld="8" baseField="1" baseItem="31"/>
  </dataFields>
  <chartFormats count="2">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15"/>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22D675-76F0-466E-976F-5AEB24D74AF3}"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4:K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7"/>
    </i>
    <i>
      <x v="110"/>
    </i>
    <i>
      <x v="134"/>
    </i>
    <i>
      <x v="61"/>
    </i>
    <i>
      <x v="77"/>
    </i>
    <i t="grand">
      <x/>
    </i>
  </rowItems>
  <colItems count="1">
    <i/>
  </colItems>
  <dataFields count="1">
    <dataField name="Sum of Target Hit %" fld="10" baseField="0"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 chart="0" format="5">
      <pivotArea type="data" outline="0" fieldPosition="0">
        <references count="2">
          <reference field="4294967294" count="1" selected="0">
            <x v="0"/>
          </reference>
          <reference field="1" count="1" selected="0">
            <x v="72"/>
          </reference>
        </references>
      </pivotArea>
    </chartFormat>
    <chartFormat chart="0" format="6">
      <pivotArea type="data" outline="0" fieldPosition="0">
        <references count="2">
          <reference field="4294967294" count="1" selected="0">
            <x v="0"/>
          </reference>
          <reference field="1" count="1" selected="0">
            <x v="128"/>
          </reference>
        </references>
      </pivotArea>
    </chartFormat>
    <chartFormat chart="0" format="7">
      <pivotArea type="data" outline="0" fieldPosition="0">
        <references count="2">
          <reference field="4294967294" count="1" selected="0">
            <x v="0"/>
          </reference>
          <reference field="1" count="1" selected="0">
            <x v="14"/>
          </reference>
        </references>
      </pivotArea>
    </chartFormat>
    <chartFormat chart="0" format="8">
      <pivotArea type="data" outline="0" fieldPosition="0">
        <references count="2">
          <reference field="4294967294" count="1" selected="0">
            <x v="0"/>
          </reference>
          <reference field="1" count="1" selected="0">
            <x v="68"/>
          </reference>
        </references>
      </pivotArea>
    </chartFormat>
    <chartFormat chart="0" format="9">
      <pivotArea type="data" outline="0" fieldPosition="0">
        <references count="2">
          <reference field="4294967294" count="1" selected="0">
            <x v="0"/>
          </reference>
          <reference field="1" count="1" selected="0">
            <x v="28"/>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38B66E-9F7A-43D6-AD40-027B46B8B9B8}"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4: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21"/>
    </i>
    <i>
      <x v="53"/>
    </i>
    <i>
      <x v="94"/>
    </i>
    <i>
      <x v="102"/>
    </i>
    <i t="grand">
      <x/>
    </i>
  </rowItems>
  <colItems count="1">
    <i/>
  </colItems>
  <dataFields count="1">
    <dataField name="TARGETS HIT % WISE" fld="10" baseField="1" baseItem="0" numFmtId="10"/>
  </dataField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5"/>
          </reference>
        </references>
      </pivotArea>
    </chartFormat>
    <chartFormat chart="0" format="12">
      <pivotArea type="data" outline="0" fieldPosition="0">
        <references count="2">
          <reference field="4294967294" count="1" selected="0">
            <x v="0"/>
          </reference>
          <reference field="1" count="1" selected="0">
            <x v="31"/>
          </reference>
        </references>
      </pivotArea>
    </chartFormat>
    <chartFormat chart="0" format="13">
      <pivotArea type="data" outline="0" fieldPosition="0">
        <references count="2">
          <reference field="4294967294" count="1" selected="0">
            <x v="0"/>
          </reference>
          <reference field="1" count="1" selected="0">
            <x v="59"/>
          </reference>
        </references>
      </pivotArea>
    </chartFormat>
    <chartFormat chart="0" format="14">
      <pivotArea type="data" outline="0" fieldPosition="0">
        <references count="2">
          <reference field="4294967294" count="1" selected="0">
            <x v="0"/>
          </reference>
          <reference field="1" count="1" selected="0">
            <x v="79"/>
          </reference>
        </references>
      </pivotArea>
    </chartFormat>
    <chartFormat chart="0" format="15">
      <pivotArea type="data" outline="0" fieldPosition="0">
        <references count="2">
          <reference field="4294967294" count="1" selected="0">
            <x v="0"/>
          </reference>
          <reference field="1" count="1" selected="0">
            <x v="5"/>
          </reference>
        </references>
      </pivotArea>
    </chartFormat>
    <chartFormat chart="0" format="16">
      <pivotArea type="data" outline="0" fieldPosition="0">
        <references count="2">
          <reference field="4294967294" count="1" selected="0">
            <x v="0"/>
          </reference>
          <reference field="1" count="1" selected="0">
            <x v="23"/>
          </reference>
        </references>
      </pivotArea>
    </chartFormat>
    <chartFormat chart="0" format="17">
      <pivotArea type="data" outline="0" fieldPosition="0">
        <references count="2">
          <reference field="4294967294" count="1" selected="0">
            <x v="0"/>
          </reference>
          <reference field="1" count="1" selected="0">
            <x v="63"/>
          </reference>
        </references>
      </pivotArea>
    </chartFormat>
    <chartFormat chart="0" format="18">
      <pivotArea type="data" outline="0" fieldPosition="0">
        <references count="2">
          <reference field="4294967294" count="1" selected="0">
            <x v="0"/>
          </reference>
          <reference field="1" count="1" selected="0">
            <x v="10"/>
          </reference>
        </references>
      </pivotArea>
    </chartFormat>
    <chartFormat chart="0" format="19">
      <pivotArea type="data" outline="0" fieldPosition="0">
        <references count="2">
          <reference field="4294967294" count="1" selected="0">
            <x v="0"/>
          </reference>
          <reference field="1" count="1" selected="0">
            <x v="36"/>
          </reference>
        </references>
      </pivotArea>
    </chartFormat>
    <chartFormat chart="0" format="20">
      <pivotArea type="data" outline="0" fieldPosition="0">
        <references count="2">
          <reference field="4294967294" count="1" selected="0">
            <x v="0"/>
          </reference>
          <reference field="1" count="1" selected="0">
            <x v="76"/>
          </reference>
        </references>
      </pivotArea>
    </chartFormat>
    <chartFormat chart="0" format="21">
      <pivotArea type="data" outline="0" fieldPosition="0">
        <references count="2">
          <reference field="4294967294" count="1" selected="0">
            <x v="0"/>
          </reference>
          <reference field="1" count="1" selected="0">
            <x v="117"/>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05946A-753A-4898-9B44-BCF9B0921829}"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4:E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6">
    <i>
      <x v="37"/>
    </i>
    <i>
      <x v="110"/>
    </i>
    <i>
      <x v="134"/>
    </i>
    <i>
      <x v="61"/>
    </i>
    <i>
      <x v="77"/>
    </i>
    <i t="grand">
      <x/>
    </i>
  </rowItems>
  <colItems count="1">
    <i/>
  </colItems>
  <dataFields count="1">
    <dataField name="TOTAL SALES " fld="8" baseField="1" baseItem="31"/>
  </dataFields>
  <pivotTableStyleInfo name="PivotStyleDark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51BA751-8D20-4049-A65A-A61F444AE601}" sourceName="Region">
  <pivotTables>
    <pivotTable tabId="3" name="PivotTable3"/>
    <pivotTable tabId="3" name="PivotTable4"/>
    <pivotTable tabId="3" name="PivotTable2"/>
    <pivotTable tabId="3" name="PivotTable1"/>
  </pivotTables>
  <data>
    <tabular pivotCacheId="59340173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139E511-8112-448C-A5D0-43B42C1BB773}" cache="Slicer_Region" caption="Region" columnCount="8" showCaption="0" style="Slicer Style 2"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9E537-B83E-4E7C-BBED-06E06A1C42B2}">
  <sheetPr codeName="Sheet1"/>
  <dimension ref="A1:K18"/>
  <sheetViews>
    <sheetView showGridLines="0" showRowColHeaders="0" tabSelected="1" zoomScale="108" workbookViewId="0">
      <selection activeCell="A23" sqref="A23"/>
    </sheetView>
  </sheetViews>
  <sheetFormatPr defaultRowHeight="14.5" x14ac:dyDescent="0.35"/>
  <cols>
    <col min="1" max="1" width="19.90625" customWidth="1"/>
    <col min="2" max="2" width="11.90625" bestFit="1" customWidth="1"/>
    <col min="3" max="3" width="3" customWidth="1"/>
    <col min="4" max="4" width="18.81640625" customWidth="1"/>
    <col min="5" max="5" width="13.08984375" customWidth="1"/>
    <col min="6" max="6" width="3.36328125" customWidth="1"/>
    <col min="7" max="7" width="17.6328125" bestFit="1" customWidth="1"/>
    <col min="8" max="8" width="18.36328125" bestFit="1" customWidth="1"/>
    <col min="9" max="9" width="3.6328125" customWidth="1"/>
    <col min="10" max="10" width="18.90625" customWidth="1"/>
    <col min="11" max="11" width="17.453125" bestFit="1" customWidth="1"/>
  </cols>
  <sheetData>
    <row r="1" spans="1:11" ht="33" customHeight="1" x14ac:dyDescent="0.35">
      <c r="A1" s="12" t="b">
        <v>1</v>
      </c>
      <c r="B1" s="12"/>
      <c r="C1" s="12"/>
      <c r="D1" s="12" t="b">
        <v>1</v>
      </c>
      <c r="E1" s="12"/>
      <c r="F1" s="12"/>
      <c r="G1" s="12" t="b">
        <v>1</v>
      </c>
      <c r="H1" s="12"/>
      <c r="I1" s="12"/>
      <c r="J1" s="12" t="b">
        <v>1</v>
      </c>
      <c r="K1" s="12"/>
    </row>
    <row r="2" spans="1:11" ht="13.5" customHeight="1" x14ac:dyDescent="0.35">
      <c r="A2" s="12"/>
      <c r="B2" s="12"/>
      <c r="C2" s="12"/>
      <c r="D2" s="12"/>
      <c r="E2" s="12"/>
      <c r="F2" s="12"/>
      <c r="G2" s="12"/>
      <c r="H2" s="12"/>
      <c r="I2" s="12"/>
      <c r="J2" s="12"/>
      <c r="K2" s="12"/>
    </row>
    <row r="3" spans="1:11" x14ac:dyDescent="0.35">
      <c r="A3" s="12"/>
      <c r="B3" s="12"/>
      <c r="C3" s="12"/>
      <c r="D3" s="12"/>
      <c r="E3" s="12"/>
      <c r="F3" s="12"/>
      <c r="G3" s="12"/>
      <c r="H3" s="12"/>
      <c r="I3" s="12"/>
      <c r="J3" s="12"/>
      <c r="K3" s="12"/>
    </row>
    <row r="4" spans="1:11" x14ac:dyDescent="0.35">
      <c r="A4" s="9" t="s">
        <v>303</v>
      </c>
      <c r="B4" t="s">
        <v>304</v>
      </c>
      <c r="C4" s="13"/>
      <c r="D4" s="9" t="s">
        <v>303</v>
      </c>
      <c r="E4" t="s">
        <v>304</v>
      </c>
      <c r="F4" s="13"/>
      <c r="G4" s="9" t="s">
        <v>303</v>
      </c>
      <c r="H4" t="s">
        <v>306</v>
      </c>
      <c r="I4" s="13"/>
      <c r="J4" s="9" t="s">
        <v>303</v>
      </c>
      <c r="K4" t="s">
        <v>305</v>
      </c>
    </row>
    <row r="5" spans="1:11" x14ac:dyDescent="0.35">
      <c r="A5" s="10" t="s">
        <v>295</v>
      </c>
      <c r="B5" s="14">
        <v>382</v>
      </c>
      <c r="C5" s="13"/>
      <c r="D5" s="10" t="s">
        <v>231</v>
      </c>
      <c r="E5" s="14">
        <v>228</v>
      </c>
      <c r="F5" s="13"/>
      <c r="G5" s="10" t="s">
        <v>295</v>
      </c>
      <c r="H5" s="11">
        <v>0.76400000000000001</v>
      </c>
      <c r="I5" s="13"/>
      <c r="J5" s="10" t="s">
        <v>231</v>
      </c>
      <c r="K5" s="11">
        <v>0.45600000000000002</v>
      </c>
    </row>
    <row r="6" spans="1:11" x14ac:dyDescent="0.35">
      <c r="A6" s="10" t="s">
        <v>103</v>
      </c>
      <c r="B6" s="14">
        <v>371</v>
      </c>
      <c r="C6" s="13"/>
      <c r="D6" s="10" t="s">
        <v>87</v>
      </c>
      <c r="E6" s="14">
        <v>223</v>
      </c>
      <c r="F6" s="13"/>
      <c r="G6" s="10" t="s">
        <v>263</v>
      </c>
      <c r="H6" s="11">
        <v>0.65400000000000003</v>
      </c>
      <c r="I6" s="13"/>
      <c r="J6" s="10" t="s">
        <v>87</v>
      </c>
      <c r="K6" s="11">
        <v>0.44600000000000001</v>
      </c>
    </row>
    <row r="7" spans="1:11" x14ac:dyDescent="0.35">
      <c r="A7" s="10" t="s">
        <v>119</v>
      </c>
      <c r="B7" s="14">
        <v>340</v>
      </c>
      <c r="C7" s="13"/>
      <c r="D7" s="10" t="s">
        <v>39</v>
      </c>
      <c r="E7" s="14">
        <v>213</v>
      </c>
      <c r="F7" s="13"/>
      <c r="G7" s="10" t="s">
        <v>199</v>
      </c>
      <c r="H7" s="11">
        <v>0.63600000000000001</v>
      </c>
      <c r="I7" s="13"/>
      <c r="J7" s="10" t="s">
        <v>39</v>
      </c>
      <c r="K7" s="11">
        <v>0.42599999999999999</v>
      </c>
    </row>
    <row r="8" spans="1:11" x14ac:dyDescent="0.35">
      <c r="A8" s="10" t="s">
        <v>263</v>
      </c>
      <c r="B8" s="14">
        <v>327</v>
      </c>
      <c r="C8" s="13"/>
      <c r="D8" s="10" t="s">
        <v>183</v>
      </c>
      <c r="E8" s="14">
        <v>209</v>
      </c>
      <c r="F8" s="13"/>
      <c r="G8" s="10" t="s">
        <v>119</v>
      </c>
      <c r="H8" s="11">
        <v>0.68</v>
      </c>
      <c r="I8" s="13"/>
      <c r="J8" s="10" t="s">
        <v>183</v>
      </c>
      <c r="K8" s="11">
        <v>0.41799999999999998</v>
      </c>
    </row>
    <row r="9" spans="1:11" x14ac:dyDescent="0.35">
      <c r="A9" s="10" t="s">
        <v>199</v>
      </c>
      <c r="B9" s="14">
        <v>318</v>
      </c>
      <c r="C9" s="13"/>
      <c r="D9" s="10" t="s">
        <v>151</v>
      </c>
      <c r="E9" s="14">
        <v>166</v>
      </c>
      <c r="F9" s="13"/>
      <c r="G9" s="10" t="s">
        <v>103</v>
      </c>
      <c r="H9" s="11">
        <v>0.74199999999999999</v>
      </c>
      <c r="I9" s="13"/>
      <c r="J9" s="10" t="s">
        <v>151</v>
      </c>
      <c r="K9" s="11">
        <v>0.33200000000000002</v>
      </c>
    </row>
    <row r="10" spans="1:11" x14ac:dyDescent="0.35">
      <c r="A10" s="10" t="s">
        <v>302</v>
      </c>
      <c r="B10" s="14">
        <v>1738</v>
      </c>
      <c r="C10" s="13"/>
      <c r="D10" s="10" t="s">
        <v>302</v>
      </c>
      <c r="E10" s="14">
        <v>1039</v>
      </c>
      <c r="F10" s="13"/>
      <c r="G10" s="10" t="s">
        <v>302</v>
      </c>
      <c r="H10" s="11">
        <v>3.4760000000000004</v>
      </c>
      <c r="I10" s="13"/>
      <c r="J10" s="10" t="s">
        <v>302</v>
      </c>
      <c r="K10" s="11">
        <v>2.0779999999999998</v>
      </c>
    </row>
    <row r="11" spans="1:11" x14ac:dyDescent="0.35">
      <c r="F11" s="13"/>
      <c r="I11" s="13"/>
    </row>
    <row r="12" spans="1:11" x14ac:dyDescent="0.35">
      <c r="F12" s="13"/>
      <c r="I12" s="13"/>
    </row>
    <row r="13" spans="1:11" x14ac:dyDescent="0.35">
      <c r="F13" s="13"/>
      <c r="I13" s="13"/>
    </row>
    <row r="14" spans="1:11" x14ac:dyDescent="0.35">
      <c r="F14" s="13"/>
      <c r="I14" s="13"/>
    </row>
    <row r="15" spans="1:11" x14ac:dyDescent="0.35">
      <c r="F15" s="13"/>
      <c r="I15" s="13"/>
    </row>
    <row r="16" spans="1:11" x14ac:dyDescent="0.35">
      <c r="F16" s="13"/>
      <c r="I16" s="13"/>
    </row>
    <row r="17" spans="6:9" x14ac:dyDescent="0.35">
      <c r="F17" s="13"/>
      <c r="I17" s="13"/>
    </row>
    <row r="18" spans="6:9" x14ac:dyDescent="0.35">
      <c r="F18" s="13"/>
      <c r="I18"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odule1.SlicerConnection">
                <anchor moveWithCells="1">
                  <from>
                    <xdr:col>0</xdr:col>
                    <xdr:colOff>311150</xdr:colOff>
                    <xdr:row>0</xdr:row>
                    <xdr:rowOff>374650</xdr:rowOff>
                  </from>
                  <to>
                    <xdr:col>1</xdr:col>
                    <xdr:colOff>215900</xdr:colOff>
                    <xdr:row>2</xdr:row>
                    <xdr:rowOff>69850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349250</xdr:colOff>
                    <xdr:row>0</xdr:row>
                    <xdr:rowOff>355600</xdr:rowOff>
                  </from>
                  <to>
                    <xdr:col>4</xdr:col>
                    <xdr:colOff>330200</xdr:colOff>
                    <xdr:row>2</xdr:row>
                    <xdr:rowOff>50800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495300</xdr:colOff>
                    <xdr:row>0</xdr:row>
                    <xdr:rowOff>425450</xdr:rowOff>
                  </from>
                  <to>
                    <xdr:col>7</xdr:col>
                    <xdr:colOff>558800</xdr:colOff>
                    <xdr:row>2</xdr:row>
                    <xdr:rowOff>114300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419100</xdr:colOff>
                    <xdr:row>0</xdr:row>
                    <xdr:rowOff>412750</xdr:rowOff>
                  </from>
                  <to>
                    <xdr:col>10</xdr:col>
                    <xdr:colOff>393700</xdr:colOff>
                    <xdr:row>2</xdr:row>
                    <xdr:rowOff>107950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Anurag Rathor</cp:lastModifiedBy>
  <dcterms:created xsi:type="dcterms:W3CDTF">2022-05-30T01:30:00Z</dcterms:created>
  <dcterms:modified xsi:type="dcterms:W3CDTF">2025-05-15T05:58:10Z</dcterms:modified>
</cp:coreProperties>
</file>